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" sheetId="1" r:id="rId5"/>
    <sheet state="visible" name="Transaksi" sheetId="2" r:id="rId6"/>
    <sheet state="visible" name="Budget" sheetId="3" r:id="rId7"/>
  </sheets>
  <definedNames/>
  <calcPr/>
</workbook>
</file>

<file path=xl/sharedStrings.xml><?xml version="1.0" encoding="utf-8"?>
<sst xmlns="http://schemas.openxmlformats.org/spreadsheetml/2006/main" count="406" uniqueCount="222">
  <si>
    <t>Gajian Tracker</t>
  </si>
  <si>
    <t>Tanggal</t>
  </si>
  <si>
    <t>Kategori</t>
  </si>
  <si>
    <t>Data pengeluaran September 2026 milik Nadia (24, karyawan swasta di Semarang). Data ini fiktif dan aman di-publish.</t>
  </si>
  <si>
    <t>Keterangan</t>
  </si>
  <si>
    <t>Nominal</t>
  </si>
  <si>
    <t>Budget Bulanan</t>
  </si>
  <si>
    <t>Metode Bayar</t>
  </si>
  <si>
    <t>Misi kamu</t>
  </si>
  <si>
    <t>Budget dalam Rupiah. Angka fiktif untuk latihan.</t>
  </si>
  <si>
    <t>Makan</t>
  </si>
  <si>
    <t>Tab Transaksi masih berantakan. Bersihkan dulu supaya bisa dibaca dashboard, lalu publish ke CSV.</t>
  </si>
  <si>
    <t>Wajib: transaksi dobel, spasi berlebih, kategori tidak konsisten, nominal berupa teks, baris subtotal &amp; baris kosong.</t>
  </si>
  <si>
    <t>Bonus: format tanggal campur. (Dashboard tetap bisa membacanya, tapi data rapi selalu lebih baik.)</t>
  </si>
  <si>
    <t>Sebelum mulai</t>
  </si>
  <si>
    <t>1. File &gt; Make a copy (jangan edit file asli).</t>
  </si>
  <si>
    <t>Jajan &amp; Kopi</t>
  </si>
  <si>
    <t>2. File &gt; Settings &gt; Locale: Indonesia. Supaya 01/09/2026 dibaca 1 September, bukan 9 Januari.</t>
  </si>
  <si>
    <t>Transportasi</t>
  </si>
  <si>
    <t>3. Jangan ubah nama kolom di baris 1. Dashboard membaca kolom berdasarkan namanya.</t>
  </si>
  <si>
    <t>01/09/2026</t>
  </si>
  <si>
    <t>Belanja</t>
  </si>
  <si>
    <t>Kategori resmi</t>
  </si>
  <si>
    <t>Makan, Jajan &amp; Kopi, Transportasi, Belanja, Tagihan, Self-care, Hiburan, Lainnya</t>
  </si>
  <si>
    <t>Tagihan</t>
  </si>
  <si>
    <t>Bayar kos bulan September</t>
  </si>
  <si>
    <t>Metode bayar resmi</t>
  </si>
  <si>
    <t>QRIS, E-wallet, Transfer, Cash, Kartu Debit</t>
  </si>
  <si>
    <t>Self-care</t>
  </si>
  <si>
    <t>Transfer</t>
  </si>
  <si>
    <t>Hiburan</t>
  </si>
  <si>
    <t>Lainnya</t>
  </si>
  <si>
    <t>TOTAL</t>
  </si>
  <si>
    <t>1 Sep 2026</t>
  </si>
  <si>
    <t>Gado-gado</t>
  </si>
  <si>
    <t>F&amp;B</t>
  </si>
  <si>
    <t>Rp 35.000</t>
  </si>
  <si>
    <t>E-wallet</t>
  </si>
  <si>
    <t>2026-09-01</t>
  </si>
  <si>
    <t xml:space="preserve"> Membership gym bulanan  </t>
  </si>
  <si>
    <t>150rb</t>
  </si>
  <si>
    <t>02/09/2026</t>
  </si>
  <si>
    <t>Es teh jumbo</t>
  </si>
  <si>
    <t>45rb</t>
  </si>
  <si>
    <t>2 Sep 2026</t>
  </si>
  <si>
    <t>Ojol ke kantor</t>
  </si>
  <si>
    <t>ojol</t>
  </si>
  <si>
    <t>Rp 18.000</t>
  </si>
  <si>
    <t>2026-09-02</t>
  </si>
  <si>
    <t>Pecel lele</t>
  </si>
  <si>
    <t xml:space="preserve">QRIS </t>
  </si>
  <si>
    <t xml:space="preserve"> Token listrik kos  </t>
  </si>
  <si>
    <t>Rp 150.000</t>
  </si>
  <si>
    <t>3 Sep 2026</t>
  </si>
  <si>
    <t xml:space="preserve"> Ayam geprek  </t>
  </si>
  <si>
    <t>makan</t>
  </si>
  <si>
    <t>12.000</t>
  </si>
  <si>
    <t>Cash</t>
  </si>
  <si>
    <t>2026-09-03</t>
  </si>
  <si>
    <t>Cilok &amp; seblak</t>
  </si>
  <si>
    <t>03/09/2026</t>
  </si>
  <si>
    <t>Paket data bulanan</t>
  </si>
  <si>
    <t>105rb</t>
  </si>
  <si>
    <t>4 Sep 2026</t>
  </si>
  <si>
    <t>Lunpia &amp; es teh</t>
  </si>
  <si>
    <t xml:space="preserve">Makan </t>
  </si>
  <si>
    <t>15rb</t>
  </si>
  <si>
    <t>2026-09-04</t>
  </si>
  <si>
    <t xml:space="preserve"> Ojol pulang kantor  </t>
  </si>
  <si>
    <t>04/09/2026</t>
  </si>
  <si>
    <t>Sunscreen &amp; toner</t>
  </si>
  <si>
    <t>skincare</t>
  </si>
  <si>
    <t>5 Sep 2026</t>
  </si>
  <si>
    <t>Langganan musik</t>
  </si>
  <si>
    <t>55.000</t>
  </si>
  <si>
    <t>Kartu Debit</t>
  </si>
  <si>
    <t>2026-09-05</t>
  </si>
  <si>
    <t>Langganan streaming film</t>
  </si>
  <si>
    <t>hiburan</t>
  </si>
  <si>
    <t>06/09/2026</t>
  </si>
  <si>
    <t>Belanja bulanan di minimarket</t>
  </si>
  <si>
    <t>belanja</t>
  </si>
  <si>
    <t>6 Sep 2026</t>
  </si>
  <si>
    <t>Martabak manis</t>
  </si>
  <si>
    <t>jajan &amp; kopi</t>
  </si>
  <si>
    <t>32.000</t>
  </si>
  <si>
    <t>2026-09-06</t>
  </si>
  <si>
    <t>Nasi rames dekat kantor</t>
  </si>
  <si>
    <t>28.000</t>
  </si>
  <si>
    <t>07/09/2026</t>
  </si>
  <si>
    <t>Bakso</t>
  </si>
  <si>
    <t>Rp 22.000</t>
  </si>
  <si>
    <t>7 Sep 2026</t>
  </si>
  <si>
    <t>Tiket kereta ke rumah orang tua</t>
  </si>
  <si>
    <t>transport</t>
  </si>
  <si>
    <t>120rb</t>
  </si>
  <si>
    <t>TOTAL MINGGU 1</t>
  </si>
  <si>
    <t>2026-09-08</t>
  </si>
  <si>
    <t>Kopi susu gula aren</t>
  </si>
  <si>
    <t>QRIS</t>
  </si>
  <si>
    <t>08/09/2026</t>
  </si>
  <si>
    <t>Mie ayam</t>
  </si>
  <si>
    <t>8 Sep 2026</t>
  </si>
  <si>
    <t>Ojol ke stasiun</t>
  </si>
  <si>
    <t>16.000</t>
  </si>
  <si>
    <t>2026-09-09</t>
  </si>
  <si>
    <t>Rp18.000</t>
  </si>
  <si>
    <t>09/09/2026</t>
  </si>
  <si>
    <t>Nasi kucing angkringan</t>
  </si>
  <si>
    <t>9 Sep 2026</t>
  </si>
  <si>
    <t xml:space="preserve"> Ojol ke stasiun  </t>
  </si>
  <si>
    <t>Rp 24.000</t>
  </si>
  <si>
    <t>2026-09-10</t>
  </si>
  <si>
    <t>Nasi goreng malam</t>
  </si>
  <si>
    <t>22.000</t>
  </si>
  <si>
    <t>10/09/2026</t>
  </si>
  <si>
    <t>Potong rambut</t>
  </si>
  <si>
    <t>Rp 60.000</t>
  </si>
  <si>
    <t>11 Sep 2026</t>
  </si>
  <si>
    <t>2026-09-11</t>
  </si>
  <si>
    <t>Rp 15.000</t>
  </si>
  <si>
    <t>11/09/2026</t>
  </si>
  <si>
    <t xml:space="preserve"> Pecel lele  </t>
  </si>
  <si>
    <t>MAKAN</t>
  </si>
  <si>
    <t>12 Sep 2026</t>
  </si>
  <si>
    <t>Belanja online: kemeja kerja</t>
  </si>
  <si>
    <t>Rp 149.000</t>
  </si>
  <si>
    <t>2026-09-13</t>
  </si>
  <si>
    <t>38.000</t>
  </si>
  <si>
    <t>13/09/2026</t>
  </si>
  <si>
    <t>35rb</t>
  </si>
  <si>
    <t>13 Sep 2026</t>
  </si>
  <si>
    <t>Nonton bioskop</t>
  </si>
  <si>
    <t>50.000</t>
  </si>
  <si>
    <t>2026-09-14</t>
  </si>
  <si>
    <t>Kado ulang tahun sahabat</t>
  </si>
  <si>
    <t>14/09/2026</t>
  </si>
  <si>
    <t>TOTAL MINGGU 2</t>
  </si>
  <si>
    <t>15 Sep 2026</t>
  </si>
  <si>
    <t>2026-09-15</t>
  </si>
  <si>
    <t>Rp25.000</t>
  </si>
  <si>
    <t>15/09/2026</t>
  </si>
  <si>
    <t xml:space="preserve"> Ojol ke kantor  </t>
  </si>
  <si>
    <t>32rb</t>
  </si>
  <si>
    <t>16 Sep 2026</t>
  </si>
  <si>
    <t>Jajan</t>
  </si>
  <si>
    <t>28rb</t>
  </si>
  <si>
    <t>2026-09-16</t>
  </si>
  <si>
    <t>16/09/2026</t>
  </si>
  <si>
    <t>Iuran sampah &amp; keamanan</t>
  </si>
  <si>
    <t>Bills</t>
  </si>
  <si>
    <t>25.000</t>
  </si>
  <si>
    <t>17 Sep 2026</t>
  </si>
  <si>
    <t>Nasi padang</t>
  </si>
  <si>
    <t>2026-09-17</t>
  </si>
  <si>
    <t>Rp19.000</t>
  </si>
  <si>
    <t>18/09/2026</t>
  </si>
  <si>
    <t>18 Sep 2026</t>
  </si>
  <si>
    <t>Roti bakar</t>
  </si>
  <si>
    <t>38rb</t>
  </si>
  <si>
    <t>2026-09-19</t>
  </si>
  <si>
    <t>Belanja online: tas</t>
  </si>
  <si>
    <t>Rp189.000</t>
  </si>
  <si>
    <t>19/09/2026</t>
  </si>
  <si>
    <t>Makan malam keluarga</t>
  </si>
  <si>
    <t>20 Sep 2026</t>
  </si>
  <si>
    <t>Ayam geprek</t>
  </si>
  <si>
    <t>2026-09-20</t>
  </si>
  <si>
    <t>18.000</t>
  </si>
  <si>
    <t>20/09/2026</t>
  </si>
  <si>
    <t>Karaoke bareng teman kantor</t>
  </si>
  <si>
    <t>27.000</t>
  </si>
  <si>
    <t>2026-09-21</t>
  </si>
  <si>
    <t xml:space="preserve"> Belanja bulanan di minimarket  </t>
  </si>
  <si>
    <t>Shopping</t>
  </si>
  <si>
    <t>Rp132.500</t>
  </si>
  <si>
    <t>TOTAL MINGGU 3</t>
  </si>
  <si>
    <t>22/09/2026</t>
  </si>
  <si>
    <t>Arisan bulanan</t>
  </si>
  <si>
    <t>22 Sep 2026</t>
  </si>
  <si>
    <t xml:space="preserve">Cash </t>
  </si>
  <si>
    <t>2026-09-22</t>
  </si>
  <si>
    <t xml:space="preserve"> Roti bakar  </t>
  </si>
  <si>
    <t>15.000</t>
  </si>
  <si>
    <t>23/09/2026</t>
  </si>
  <si>
    <t xml:space="preserve"> Bakso  </t>
  </si>
  <si>
    <t>23 Sep 2026</t>
  </si>
  <si>
    <t>Es kopi susu</t>
  </si>
  <si>
    <t>Rp28.000</t>
  </si>
  <si>
    <t>2026-09-23</t>
  </si>
  <si>
    <t>24/09/2026</t>
  </si>
  <si>
    <t>Masker wajah</t>
  </si>
  <si>
    <t>selfcare</t>
  </si>
  <si>
    <t>24 Sep 2026</t>
  </si>
  <si>
    <t>Rp12.000</t>
  </si>
  <si>
    <t>2026-09-25</t>
  </si>
  <si>
    <t>Boba brown sugar</t>
  </si>
  <si>
    <t>Ngopi</t>
  </si>
  <si>
    <t>25/09/2026</t>
  </si>
  <si>
    <t>25 Sep 2026</t>
  </si>
  <si>
    <t>2026-09-26</t>
  </si>
  <si>
    <t>Sabun &amp; deterjen</t>
  </si>
  <si>
    <t>Rp 47.500</t>
  </si>
  <si>
    <t>27/09/2026</t>
  </si>
  <si>
    <t>Rp 10.000</t>
  </si>
  <si>
    <t>27 Sep 2026</t>
  </si>
  <si>
    <t>2026-09-27</t>
  </si>
  <si>
    <t>Tiket konser lokal</t>
  </si>
  <si>
    <t>Rp150.000</t>
  </si>
  <si>
    <t>28/09/2026</t>
  </si>
  <si>
    <t>Donasi galang dana</t>
  </si>
  <si>
    <t>lain-lain</t>
  </si>
  <si>
    <t>Rp 50.000</t>
  </si>
  <si>
    <t>29 Sep 2026</t>
  </si>
  <si>
    <t>2026-09-29</t>
  </si>
  <si>
    <t>Ojol pulang kantor</t>
  </si>
  <si>
    <t>29/09/2026</t>
  </si>
  <si>
    <t>Sate ayam</t>
  </si>
  <si>
    <t xml:space="preserve">E-wallet </t>
  </si>
  <si>
    <t>30 Sep 2026</t>
  </si>
  <si>
    <t>2026-09-30</t>
  </si>
  <si>
    <t>TOTAL MINGGU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</si>
</sst>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rgb="FF004987"/>
      <name val="Averia Serif Libre"/>
    </font>
    <font>
      <b/>
      <sz val="10.0"/>
      <color rgb="FFFFFFFF"/>
      <name val="Averia Serif Libre"/>
    </font>
    <font>
      <b/>
      <sz val="11.0"/>
      <color rgb="FFFFFFFF"/>
      <name val="Averia Serif Libre"/>
    </font>
    <font>
      <i/>
      <sz val="11.0"/>
      <color rgb="FF5A6B7A"/>
      <name val="Source Sans Pro"/>
    </font>
    <font>
      <sz val="11.0"/>
      <color rgb="FF12263A"/>
      <name val="Source Sans Pro"/>
    </font>
    <font>
      <i/>
      <sz val="9.0"/>
      <color rgb="FF5A6B7A"/>
      <name val="Arial"/>
    </font>
    <font>
      <b/>
      <sz val="12.0"/>
      <color rgb="FF004987"/>
      <name val="Source Sans Pro"/>
    </font>
    <font>
      <sz val="10.0"/>
      <color theme="1"/>
      <name val="Source Sans Pro"/>
    </font>
    <font>
      <sz val="10.0"/>
      <color rgb="FF12263A"/>
      <name val="Source Sans Pro"/>
    </font>
    <font>
      <b/>
      <sz val="10.0"/>
      <color rgb="FF004987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4987"/>
        <bgColor rgb="FF004987"/>
      </patternFill>
    </fill>
    <fill>
      <patternFill patternType="solid">
        <fgColor rgb="FFFDFBCB"/>
        <bgColor rgb="FFFDFBCB"/>
      </patternFill>
    </fill>
  </fills>
  <borders count="3">
    <border/>
    <border>
      <left/>
      <right/>
      <top/>
      <bottom/>
    </border>
    <border>
      <bottom style="thin">
        <color rgb="FFD6E2F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2" fontId="2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shrinkToFit="0" vertical="top" wrapText="1"/>
    </xf>
    <xf borderId="0" fillId="0" fontId="8" numFmtId="0" xfId="0" applyFont="1"/>
    <xf borderId="0" fillId="0" fontId="9" numFmtId="0" xfId="0" applyAlignment="1" applyFont="1">
      <alignment shrinkToFit="0" vertical="top" wrapText="1"/>
    </xf>
    <xf borderId="2" fillId="0" fontId="9" numFmtId="0" xfId="0" applyAlignment="1" applyBorder="1" applyFont="1">
      <alignment shrinkToFit="0" vertical="bottom" wrapText="0"/>
    </xf>
    <xf borderId="2" fillId="0" fontId="9" numFmtId="3" xfId="0" applyAlignment="1" applyBorder="1" applyFont="1" applyNumberFormat="1">
      <alignment shrinkToFit="0" vertical="bottom" wrapText="0"/>
    </xf>
    <xf borderId="2" fillId="0" fontId="9" numFmtId="49" xfId="0" applyAlignment="1" applyBorder="1" applyFont="1" applyNumberForma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10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16.14"/>
    <col customWidth="1" min="3" max="26" width="8.71"/>
  </cols>
  <sheetData>
    <row r="1" ht="30.0" customHeight="1">
      <c r="B1" s="1" t="s">
        <v>0</v>
      </c>
    </row>
    <row r="2">
      <c r="B2" s="3" t="s">
        <v>3</v>
      </c>
    </row>
    <row r="3">
      <c r="B3" s="5"/>
    </row>
    <row r="4">
      <c r="B4" s="7" t="s">
        <v>8</v>
      </c>
    </row>
    <row r="5">
      <c r="B5" s="9" t="s">
        <v>11</v>
      </c>
    </row>
    <row r="6">
      <c r="B6" s="9" t="s">
        <v>12</v>
      </c>
    </row>
    <row r="7">
      <c r="B7" s="9" t="s">
        <v>13</v>
      </c>
    </row>
    <row r="8">
      <c r="B8" s="5"/>
    </row>
    <row r="9">
      <c r="B9" s="7" t="s">
        <v>14</v>
      </c>
    </row>
    <row r="10">
      <c r="B10" s="9" t="s">
        <v>15</v>
      </c>
    </row>
    <row r="11">
      <c r="B11" s="9" t="s">
        <v>17</v>
      </c>
    </row>
    <row r="12">
      <c r="B12" s="9" t="s">
        <v>19</v>
      </c>
    </row>
    <row r="13">
      <c r="B13" s="9"/>
    </row>
    <row r="14">
      <c r="B14" s="7" t="s">
        <v>22</v>
      </c>
    </row>
    <row r="15">
      <c r="B15" s="9" t="s">
        <v>23</v>
      </c>
    </row>
    <row r="16">
      <c r="B16" s="5"/>
    </row>
    <row r="17">
      <c r="B17" s="7" t="s">
        <v>26</v>
      </c>
    </row>
    <row r="18">
      <c r="B18" s="9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8.0"/>
    <col customWidth="1" min="3" max="3" width="18.0"/>
    <col customWidth="1" min="4" max="5" width="16.0"/>
    <col customWidth="1" min="6" max="26" width="8.71"/>
  </cols>
  <sheetData>
    <row r="1" ht="21.75" customHeight="1">
      <c r="A1" s="2" t="s">
        <v>1</v>
      </c>
      <c r="B1" s="2" t="s">
        <v>4</v>
      </c>
      <c r="C1" s="2" t="s">
        <v>2</v>
      </c>
      <c r="D1" s="2" t="s">
        <v>5</v>
      </c>
      <c r="E1" s="2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20</v>
      </c>
      <c r="B2" s="12" t="s">
        <v>25</v>
      </c>
      <c r="C2" s="12" t="s">
        <v>24</v>
      </c>
      <c r="D2" s="10">
        <v>1500000.0</v>
      </c>
      <c r="E2" s="12" t="s">
        <v>29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33</v>
      </c>
      <c r="B3" s="12" t="s">
        <v>34</v>
      </c>
      <c r="C3" s="12" t="s">
        <v>35</v>
      </c>
      <c r="D3" s="12" t="s">
        <v>36</v>
      </c>
      <c r="E3" s="12" t="s">
        <v>37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 t="s">
        <v>38</v>
      </c>
      <c r="B4" s="12" t="s">
        <v>39</v>
      </c>
      <c r="C4" s="12" t="s">
        <v>28</v>
      </c>
      <c r="D4" s="12" t="s">
        <v>40</v>
      </c>
      <c r="E4" s="12" t="s">
        <v>29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41</v>
      </c>
      <c r="B5" s="12" t="s">
        <v>42</v>
      </c>
      <c r="C5" s="12" t="s">
        <v>16</v>
      </c>
      <c r="D5" s="12" t="s">
        <v>43</v>
      </c>
      <c r="E5" s="12" t="s">
        <v>37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44</v>
      </c>
      <c r="B6" s="12" t="s">
        <v>45</v>
      </c>
      <c r="C6" s="12" t="s">
        <v>46</v>
      </c>
      <c r="D6" s="12" t="s">
        <v>47</v>
      </c>
      <c r="E6" s="12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48</v>
      </c>
      <c r="B7" s="12" t="s">
        <v>49</v>
      </c>
      <c r="C7" s="12" t="s">
        <v>10</v>
      </c>
      <c r="D7" s="10">
        <v>35000.0</v>
      </c>
      <c r="E7" s="12" t="s">
        <v>50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2" t="s">
        <v>41</v>
      </c>
      <c r="B8" s="12" t="s">
        <v>51</v>
      </c>
      <c r="C8" s="12" t="s">
        <v>24</v>
      </c>
      <c r="D8" s="12" t="s">
        <v>52</v>
      </c>
      <c r="E8" s="12" t="s">
        <v>37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53</v>
      </c>
      <c r="B9" s="12" t="s">
        <v>54</v>
      </c>
      <c r="C9" s="12" t="s">
        <v>55</v>
      </c>
      <c r="D9" s="12" t="s">
        <v>56</v>
      </c>
      <c r="E9" s="12" t="s">
        <v>57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58</v>
      </c>
      <c r="B10" s="12" t="s">
        <v>59</v>
      </c>
      <c r="C10" s="12" t="s">
        <v>16</v>
      </c>
      <c r="D10" s="12" t="s">
        <v>43</v>
      </c>
      <c r="E10" s="12" t="s">
        <v>57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60</v>
      </c>
      <c r="B11" s="12" t="s">
        <v>61</v>
      </c>
      <c r="C11" s="12" t="s">
        <v>24</v>
      </c>
      <c r="D11" s="12" t="s">
        <v>62</v>
      </c>
      <c r="E11" s="12" t="s">
        <v>37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63</v>
      </c>
      <c r="B12" s="12" t="s">
        <v>64</v>
      </c>
      <c r="C12" s="12" t="s">
        <v>65</v>
      </c>
      <c r="D12" s="12" t="s">
        <v>66</v>
      </c>
      <c r="E12" s="12" t="s">
        <v>57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67</v>
      </c>
      <c r="B13" s="12" t="s">
        <v>68</v>
      </c>
      <c r="C13" s="12" t="s">
        <v>18</v>
      </c>
      <c r="D13" s="10">
        <v>22000.0</v>
      </c>
      <c r="E13" s="12" t="s">
        <v>37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69</v>
      </c>
      <c r="B14" s="12" t="s">
        <v>70</v>
      </c>
      <c r="C14" s="12" t="s">
        <v>71</v>
      </c>
      <c r="D14" s="10">
        <v>128000.0</v>
      </c>
      <c r="E14" s="12" t="s">
        <v>37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72</v>
      </c>
      <c r="B15" s="12" t="s">
        <v>73</v>
      </c>
      <c r="C15" s="12" t="s">
        <v>30</v>
      </c>
      <c r="D15" s="12" t="s">
        <v>74</v>
      </c>
      <c r="E15" s="12" t="s">
        <v>75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2" t="s">
        <v>76</v>
      </c>
      <c r="B16" s="12" t="s">
        <v>77</v>
      </c>
      <c r="C16" s="12" t="s">
        <v>78</v>
      </c>
      <c r="D16" s="10">
        <v>65000.0</v>
      </c>
      <c r="E16" s="12" t="s">
        <v>75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79</v>
      </c>
      <c r="B17" s="12" t="s">
        <v>80</v>
      </c>
      <c r="C17" s="12" t="s">
        <v>81</v>
      </c>
      <c r="D17" s="10">
        <v>215000.0</v>
      </c>
      <c r="E17" s="12" t="s">
        <v>75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82</v>
      </c>
      <c r="B18" s="12" t="s">
        <v>83</v>
      </c>
      <c r="C18" s="12" t="s">
        <v>84</v>
      </c>
      <c r="D18" s="12" t="s">
        <v>85</v>
      </c>
      <c r="E18" s="12" t="s">
        <v>37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86</v>
      </c>
      <c r="B19" s="12" t="s">
        <v>87</v>
      </c>
      <c r="C19" s="12" t="s">
        <v>10</v>
      </c>
      <c r="D19" s="12" t="s">
        <v>88</v>
      </c>
      <c r="E19" s="12" t="s">
        <v>37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2" t="s">
        <v>89</v>
      </c>
      <c r="B20" s="12" t="s">
        <v>90</v>
      </c>
      <c r="C20" s="12" t="s">
        <v>10</v>
      </c>
      <c r="D20" s="12" t="s">
        <v>91</v>
      </c>
      <c r="E20" s="12" t="s">
        <v>37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" t="s">
        <v>92</v>
      </c>
      <c r="B21" s="12" t="s">
        <v>93</v>
      </c>
      <c r="C21" s="12" t="s">
        <v>94</v>
      </c>
      <c r="D21" s="12" t="s">
        <v>95</v>
      </c>
      <c r="E21" s="12" t="s">
        <v>29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2"/>
      <c r="B22" s="12" t="s">
        <v>96</v>
      </c>
      <c r="C22" s="12"/>
      <c r="D22" s="10">
        <v>2797000.0</v>
      </c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2" t="s">
        <v>97</v>
      </c>
      <c r="B23" s="12" t="s">
        <v>98</v>
      </c>
      <c r="C23" s="12" t="s">
        <v>16</v>
      </c>
      <c r="D23" s="10">
        <v>25000.0</v>
      </c>
      <c r="E23" s="12" t="s">
        <v>99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2" t="s">
        <v>100</v>
      </c>
      <c r="B24" s="12" t="s">
        <v>101</v>
      </c>
      <c r="C24" s="12" t="s">
        <v>10</v>
      </c>
      <c r="D24" s="10">
        <v>20000.0</v>
      </c>
      <c r="E24" s="12" t="s">
        <v>99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2" t="s">
        <v>102</v>
      </c>
      <c r="B25" s="12" t="s">
        <v>103</v>
      </c>
      <c r="C25" s="12" t="s">
        <v>46</v>
      </c>
      <c r="D25" s="12" t="s">
        <v>104</v>
      </c>
      <c r="E25" s="12" t="s">
        <v>37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2" t="s">
        <v>102</v>
      </c>
      <c r="B26" s="12" t="s">
        <v>103</v>
      </c>
      <c r="C26" s="12" t="s">
        <v>46</v>
      </c>
      <c r="D26" s="12" t="s">
        <v>104</v>
      </c>
      <c r="E26" s="12" t="s">
        <v>37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2" t="s">
        <v>105</v>
      </c>
      <c r="B27" s="12" t="s">
        <v>59</v>
      </c>
      <c r="C27" s="12" t="s">
        <v>16</v>
      </c>
      <c r="D27" s="12" t="s">
        <v>106</v>
      </c>
      <c r="E27" s="12" t="s">
        <v>57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2" t="s">
        <v>107</v>
      </c>
      <c r="B28" s="12" t="s">
        <v>108</v>
      </c>
      <c r="C28" s="12" t="s">
        <v>10</v>
      </c>
      <c r="D28" s="10">
        <v>25000.0</v>
      </c>
      <c r="E28" s="12" t="s">
        <v>57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2" t="s">
        <v>109</v>
      </c>
      <c r="B29" s="12" t="s">
        <v>110</v>
      </c>
      <c r="C29" s="12" t="s">
        <v>18</v>
      </c>
      <c r="D29" s="12" t="s">
        <v>111</v>
      </c>
      <c r="E29" s="12" t="s">
        <v>37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2" t="s">
        <v>109</v>
      </c>
      <c r="B30" s="12" t="s">
        <v>110</v>
      </c>
      <c r="C30" s="12" t="s">
        <v>18</v>
      </c>
      <c r="D30" s="12" t="s">
        <v>111</v>
      </c>
      <c r="E30" s="12" t="s">
        <v>37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2" t="s">
        <v>112</v>
      </c>
      <c r="B31" s="12" t="s">
        <v>113</v>
      </c>
      <c r="C31" s="12" t="s">
        <v>55</v>
      </c>
      <c r="D31" s="12" t="s">
        <v>114</v>
      </c>
      <c r="E31" s="12" t="s">
        <v>99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2" t="s">
        <v>115</v>
      </c>
      <c r="B32" s="12" t="s">
        <v>116</v>
      </c>
      <c r="C32" s="12" t="s">
        <v>28</v>
      </c>
      <c r="D32" s="12" t="s">
        <v>117</v>
      </c>
      <c r="E32" s="12" t="s">
        <v>57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2" t="s">
        <v>118</v>
      </c>
      <c r="B33" s="12" t="s">
        <v>83</v>
      </c>
      <c r="C33" s="12" t="s">
        <v>84</v>
      </c>
      <c r="D33" s="10">
        <v>28000.0</v>
      </c>
      <c r="E33" s="12" t="s">
        <v>37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2"/>
      <c r="B34" s="12"/>
      <c r="C34" s="12"/>
      <c r="D34" s="12"/>
      <c r="E34" s="12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2" t="s">
        <v>119</v>
      </c>
      <c r="B35" s="12" t="s">
        <v>103</v>
      </c>
      <c r="C35" s="12" t="s">
        <v>18</v>
      </c>
      <c r="D35" s="12" t="s">
        <v>120</v>
      </c>
      <c r="E35" s="12" t="s">
        <v>37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2" t="s">
        <v>121</v>
      </c>
      <c r="B36" s="12" t="s">
        <v>122</v>
      </c>
      <c r="C36" s="12" t="s">
        <v>123</v>
      </c>
      <c r="D36" s="10">
        <v>20000.0</v>
      </c>
      <c r="E36" s="12" t="s">
        <v>99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2" t="s">
        <v>124</v>
      </c>
      <c r="B37" s="12" t="s">
        <v>125</v>
      </c>
      <c r="C37" s="12" t="s">
        <v>21</v>
      </c>
      <c r="D37" s="12" t="s">
        <v>126</v>
      </c>
      <c r="E37" s="12" t="s">
        <v>37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2" t="s">
        <v>127</v>
      </c>
      <c r="B38" s="12" t="s">
        <v>59</v>
      </c>
      <c r="C38" s="12" t="s">
        <v>16</v>
      </c>
      <c r="D38" s="12" t="s">
        <v>128</v>
      </c>
      <c r="E38" s="12" t="s">
        <v>57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2" t="s">
        <v>129</v>
      </c>
      <c r="B39" s="12" t="s">
        <v>64</v>
      </c>
      <c r="C39" s="12" t="s">
        <v>10</v>
      </c>
      <c r="D39" s="12" t="s">
        <v>130</v>
      </c>
      <c r="E39" s="12" t="s">
        <v>57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2" t="s">
        <v>131</v>
      </c>
      <c r="B40" s="12" t="s">
        <v>132</v>
      </c>
      <c r="C40" s="12" t="s">
        <v>30</v>
      </c>
      <c r="D40" s="12" t="s">
        <v>133</v>
      </c>
      <c r="E40" s="12" t="s">
        <v>99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2" t="s">
        <v>134</v>
      </c>
      <c r="B41" s="12" t="s">
        <v>135</v>
      </c>
      <c r="C41" s="12" t="s">
        <v>31</v>
      </c>
      <c r="D41" s="10">
        <v>175000.0</v>
      </c>
      <c r="E41" s="12" t="s">
        <v>37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2" t="s">
        <v>136</v>
      </c>
      <c r="B42" s="12" t="s">
        <v>101</v>
      </c>
      <c r="C42" s="12" t="s">
        <v>35</v>
      </c>
      <c r="D42" s="10">
        <v>22000.0</v>
      </c>
      <c r="E42" s="12" t="s">
        <v>37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2"/>
      <c r="B43" s="12" t="s">
        <v>137</v>
      </c>
      <c r="C43" s="12"/>
      <c r="D43" s="10">
        <v>742000.0</v>
      </c>
      <c r="E43" s="1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2" t="s">
        <v>138</v>
      </c>
      <c r="B44" s="12" t="s">
        <v>98</v>
      </c>
      <c r="C44" s="12" t="s">
        <v>16</v>
      </c>
      <c r="D44" s="12" t="s">
        <v>85</v>
      </c>
      <c r="E44" s="12" t="s">
        <v>37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2" t="s">
        <v>139</v>
      </c>
      <c r="B45" s="12" t="s">
        <v>113</v>
      </c>
      <c r="C45" s="12" t="s">
        <v>55</v>
      </c>
      <c r="D45" s="12" t="s">
        <v>140</v>
      </c>
      <c r="E45" s="12" t="s">
        <v>37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2" t="s">
        <v>141</v>
      </c>
      <c r="B46" s="12" t="s">
        <v>142</v>
      </c>
      <c r="C46" s="12" t="s">
        <v>18</v>
      </c>
      <c r="D46" s="12" t="s">
        <v>143</v>
      </c>
      <c r="E46" s="12" t="s">
        <v>37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2" t="s">
        <v>144</v>
      </c>
      <c r="B47" s="12" t="s">
        <v>59</v>
      </c>
      <c r="C47" s="12" t="s">
        <v>145</v>
      </c>
      <c r="D47" s="12" t="s">
        <v>146</v>
      </c>
      <c r="E47" s="12" t="s">
        <v>99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2" t="s">
        <v>144</v>
      </c>
      <c r="B48" s="12" t="s">
        <v>59</v>
      </c>
      <c r="C48" s="12" t="s">
        <v>145</v>
      </c>
      <c r="D48" s="12" t="s">
        <v>146</v>
      </c>
      <c r="E48" s="12" t="s">
        <v>99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2" t="s">
        <v>147</v>
      </c>
      <c r="B49" s="12" t="s">
        <v>34</v>
      </c>
      <c r="C49" s="12" t="s">
        <v>35</v>
      </c>
      <c r="D49" s="10">
        <v>35000.0</v>
      </c>
      <c r="E49" s="12" t="s">
        <v>37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2" t="s">
        <v>148</v>
      </c>
      <c r="B50" s="12" t="s">
        <v>149</v>
      </c>
      <c r="C50" s="12" t="s">
        <v>150</v>
      </c>
      <c r="D50" s="12" t="s">
        <v>151</v>
      </c>
      <c r="E50" s="12" t="s">
        <v>57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2" t="s">
        <v>152</v>
      </c>
      <c r="B51" s="12" t="s">
        <v>153</v>
      </c>
      <c r="C51" s="12" t="s">
        <v>35</v>
      </c>
      <c r="D51" s="12" t="s">
        <v>120</v>
      </c>
      <c r="E51" s="12" t="s">
        <v>37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2" t="s">
        <v>154</v>
      </c>
      <c r="B52" s="12" t="s">
        <v>45</v>
      </c>
      <c r="C52" s="12" t="s">
        <v>46</v>
      </c>
      <c r="D52" s="12" t="s">
        <v>155</v>
      </c>
      <c r="E52" s="12" t="s">
        <v>37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2" t="s">
        <v>156</v>
      </c>
      <c r="B53" s="12" t="s">
        <v>34</v>
      </c>
      <c r="C53" s="12" t="s">
        <v>10</v>
      </c>
      <c r="D53" s="12" t="s">
        <v>140</v>
      </c>
      <c r="E53" s="12" t="s">
        <v>99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2" t="s">
        <v>157</v>
      </c>
      <c r="B54" s="12" t="s">
        <v>158</v>
      </c>
      <c r="C54" s="12" t="s">
        <v>16</v>
      </c>
      <c r="D54" s="12" t="s">
        <v>159</v>
      </c>
      <c r="E54" s="12" t="s">
        <v>57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2" t="s">
        <v>160</v>
      </c>
      <c r="B55" s="12" t="s">
        <v>161</v>
      </c>
      <c r="C55" s="12" t="s">
        <v>21</v>
      </c>
      <c r="D55" s="12" t="s">
        <v>162</v>
      </c>
      <c r="E55" s="12" t="s">
        <v>37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2" t="s">
        <v>163</v>
      </c>
      <c r="B56" s="12" t="s">
        <v>164</v>
      </c>
      <c r="C56" s="12" t="s">
        <v>123</v>
      </c>
      <c r="D56" s="10">
        <v>185000.0</v>
      </c>
      <c r="E56" s="12" t="s">
        <v>75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2" t="s">
        <v>165</v>
      </c>
      <c r="B57" s="12" t="s">
        <v>166</v>
      </c>
      <c r="C57" s="12" t="s">
        <v>10</v>
      </c>
      <c r="D57" s="10">
        <v>25000.0</v>
      </c>
      <c r="E57" s="12" t="s">
        <v>37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2" t="s">
        <v>167</v>
      </c>
      <c r="B58" s="12" t="s">
        <v>42</v>
      </c>
      <c r="C58" s="12" t="s">
        <v>16</v>
      </c>
      <c r="D58" s="12" t="s">
        <v>168</v>
      </c>
      <c r="E58" s="12" t="s">
        <v>57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2" t="s">
        <v>169</v>
      </c>
      <c r="B59" s="12" t="s">
        <v>170</v>
      </c>
      <c r="C59" s="12" t="s">
        <v>78</v>
      </c>
      <c r="D59" s="10">
        <v>95000.0</v>
      </c>
      <c r="E59" s="12" t="s">
        <v>99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2" t="s">
        <v>169</v>
      </c>
      <c r="B60" s="12" t="s">
        <v>170</v>
      </c>
      <c r="C60" s="12" t="s">
        <v>78</v>
      </c>
      <c r="D60" s="10">
        <v>95000.0</v>
      </c>
      <c r="E60" s="12" t="s">
        <v>99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2" t="s">
        <v>165</v>
      </c>
      <c r="B61" s="12" t="s">
        <v>103</v>
      </c>
      <c r="C61" s="12" t="s">
        <v>18</v>
      </c>
      <c r="D61" s="12" t="s">
        <v>171</v>
      </c>
      <c r="E61" s="12" t="s">
        <v>37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2" t="s">
        <v>172</v>
      </c>
      <c r="B62" s="12" t="s">
        <v>173</v>
      </c>
      <c r="C62" s="12" t="s">
        <v>174</v>
      </c>
      <c r="D62" s="12" t="s">
        <v>175</v>
      </c>
      <c r="E62" s="12" t="s">
        <v>75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2"/>
      <c r="B63" s="12" t="s">
        <v>176</v>
      </c>
      <c r="C63" s="12"/>
      <c r="D63" s="10">
        <v>945500.0</v>
      </c>
      <c r="E63" s="1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2" t="s">
        <v>177</v>
      </c>
      <c r="B64" s="12" t="s">
        <v>178</v>
      </c>
      <c r="C64" s="12" t="s">
        <v>31</v>
      </c>
      <c r="D64" s="10">
        <v>200000.0</v>
      </c>
      <c r="E64" s="12" t="s">
        <v>29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2" t="s">
        <v>179</v>
      </c>
      <c r="B65" s="12" t="s">
        <v>34</v>
      </c>
      <c r="C65" s="12" t="s">
        <v>10</v>
      </c>
      <c r="D65" s="10">
        <v>30000.0</v>
      </c>
      <c r="E65" s="12" t="s">
        <v>180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2" t="s">
        <v>181</v>
      </c>
      <c r="B66" s="12" t="s">
        <v>182</v>
      </c>
      <c r="C66" s="12" t="s">
        <v>16</v>
      </c>
      <c r="D66" s="12" t="s">
        <v>183</v>
      </c>
      <c r="E66" s="12" t="s">
        <v>57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2" t="s">
        <v>184</v>
      </c>
      <c r="B67" s="12" t="s">
        <v>185</v>
      </c>
      <c r="C67" s="12" t="s">
        <v>10</v>
      </c>
      <c r="D67" s="10">
        <v>35000.0</v>
      </c>
      <c r="E67" s="12" t="s">
        <v>99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2" t="s">
        <v>186</v>
      </c>
      <c r="B68" s="12" t="s">
        <v>187</v>
      </c>
      <c r="C68" s="12" t="s">
        <v>16</v>
      </c>
      <c r="D68" s="12" t="s">
        <v>188</v>
      </c>
      <c r="E68" s="12" t="s">
        <v>99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2" t="s">
        <v>189</v>
      </c>
      <c r="B69" s="12" t="s">
        <v>103</v>
      </c>
      <c r="C69" s="12" t="s">
        <v>46</v>
      </c>
      <c r="D69" s="10">
        <v>21000.0</v>
      </c>
      <c r="E69" s="12" t="s">
        <v>37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2"/>
      <c r="B70" s="12"/>
      <c r="C70" s="12"/>
      <c r="D70" s="12"/>
      <c r="E70" s="12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2" t="s">
        <v>190</v>
      </c>
      <c r="B71" s="12" t="s">
        <v>191</v>
      </c>
      <c r="C71" s="12" t="s">
        <v>192</v>
      </c>
      <c r="D71" s="10">
        <v>35000.0</v>
      </c>
      <c r="E71" s="12" t="s">
        <v>99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2" t="s">
        <v>193</v>
      </c>
      <c r="B72" s="12" t="s">
        <v>108</v>
      </c>
      <c r="C72" s="12" t="s">
        <v>123</v>
      </c>
      <c r="D72" s="12" t="s">
        <v>194</v>
      </c>
      <c r="E72" s="12" t="s">
        <v>57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2" t="s">
        <v>195</v>
      </c>
      <c r="B73" s="12" t="s">
        <v>196</v>
      </c>
      <c r="C73" s="12" t="s">
        <v>197</v>
      </c>
      <c r="D73" s="12" t="s">
        <v>143</v>
      </c>
      <c r="E73" s="12" t="s">
        <v>57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2" t="s">
        <v>198</v>
      </c>
      <c r="B74" s="12" t="s">
        <v>153</v>
      </c>
      <c r="C74" s="12" t="s">
        <v>10</v>
      </c>
      <c r="D74" s="12" t="s">
        <v>36</v>
      </c>
      <c r="E74" s="12" t="s">
        <v>37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2" t="s">
        <v>198</v>
      </c>
      <c r="B75" s="12" t="s">
        <v>153</v>
      </c>
      <c r="C75" s="12" t="s">
        <v>10</v>
      </c>
      <c r="D75" s="12" t="s">
        <v>36</v>
      </c>
      <c r="E75" s="12" t="s">
        <v>37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2" t="s">
        <v>199</v>
      </c>
      <c r="B76" s="12" t="s">
        <v>103</v>
      </c>
      <c r="C76" s="12" t="s">
        <v>18</v>
      </c>
      <c r="D76" s="10">
        <v>17000.0</v>
      </c>
      <c r="E76" s="12" t="s">
        <v>37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2" t="s">
        <v>200</v>
      </c>
      <c r="B77" s="12" t="s">
        <v>201</v>
      </c>
      <c r="C77" s="12" t="s">
        <v>21</v>
      </c>
      <c r="D77" s="12" t="s">
        <v>202</v>
      </c>
      <c r="E77" s="12" t="s">
        <v>99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2" t="s">
        <v>203</v>
      </c>
      <c r="B78" s="12" t="s">
        <v>187</v>
      </c>
      <c r="C78" s="12" t="s">
        <v>16</v>
      </c>
      <c r="D78" s="12" t="s">
        <v>204</v>
      </c>
      <c r="E78" s="12" t="s">
        <v>99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2" t="s">
        <v>205</v>
      </c>
      <c r="B79" s="12" t="s">
        <v>122</v>
      </c>
      <c r="C79" s="12" t="s">
        <v>65</v>
      </c>
      <c r="D79" s="10">
        <v>17000.0</v>
      </c>
      <c r="E79" s="12" t="s">
        <v>99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2" t="s">
        <v>206</v>
      </c>
      <c r="B80" s="12" t="s">
        <v>207</v>
      </c>
      <c r="C80" s="12" t="s">
        <v>30</v>
      </c>
      <c r="D80" s="12" t="s">
        <v>208</v>
      </c>
      <c r="E80" s="12" t="s">
        <v>29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2" t="s">
        <v>209</v>
      </c>
      <c r="B81" s="12" t="s">
        <v>210</v>
      </c>
      <c r="C81" s="12" t="s">
        <v>211</v>
      </c>
      <c r="D81" s="12" t="s">
        <v>212</v>
      </c>
      <c r="E81" s="12" t="s">
        <v>37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2" t="s">
        <v>213</v>
      </c>
      <c r="B82" s="12" t="s">
        <v>187</v>
      </c>
      <c r="C82" s="12" t="s">
        <v>16</v>
      </c>
      <c r="D82" s="12" t="s">
        <v>128</v>
      </c>
      <c r="E82" s="12" t="s">
        <v>99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2" t="s">
        <v>214</v>
      </c>
      <c r="B83" s="12" t="s">
        <v>215</v>
      </c>
      <c r="C83" s="12" t="s">
        <v>46</v>
      </c>
      <c r="D83" s="10">
        <v>35000.0</v>
      </c>
      <c r="E83" s="12" t="s">
        <v>37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2" t="s">
        <v>216</v>
      </c>
      <c r="B84" s="12" t="s">
        <v>217</v>
      </c>
      <c r="C84" s="12" t="s">
        <v>10</v>
      </c>
      <c r="D84" s="10">
        <v>15000.0</v>
      </c>
      <c r="E84" s="12" t="s">
        <v>218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2" t="s">
        <v>219</v>
      </c>
      <c r="B85" s="12" t="s">
        <v>187</v>
      </c>
      <c r="C85" s="12" t="s">
        <v>16</v>
      </c>
      <c r="D85" s="10">
        <v>22000.0</v>
      </c>
      <c r="E85" s="12" t="s">
        <v>99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2" t="s">
        <v>220</v>
      </c>
      <c r="B86" s="12" t="s">
        <v>108</v>
      </c>
      <c r="C86" s="12" t="s">
        <v>35</v>
      </c>
      <c r="D86" s="10">
        <v>28000.0</v>
      </c>
      <c r="E86" s="12" t="s">
        <v>99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2"/>
      <c r="B87" s="12" t="s">
        <v>221</v>
      </c>
      <c r="C87" s="12"/>
      <c r="D87" s="10">
        <v>872500.0</v>
      </c>
      <c r="E87" s="12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26" width="8.71"/>
  </cols>
  <sheetData>
    <row r="1" ht="21.75" customHeight="1">
      <c r="A1" s="4" t="s">
        <v>2</v>
      </c>
      <c r="B1" s="4" t="s">
        <v>6</v>
      </c>
      <c r="D1" s="6" t="s">
        <v>9</v>
      </c>
    </row>
    <row r="2">
      <c r="A2" s="10" t="s">
        <v>10</v>
      </c>
      <c r="B2" s="11">
        <v>900000.0</v>
      </c>
    </row>
    <row r="3">
      <c r="A3" s="10" t="s">
        <v>16</v>
      </c>
      <c r="B3" s="11">
        <v>300000.0</v>
      </c>
    </row>
    <row r="4">
      <c r="A4" s="10" t="s">
        <v>18</v>
      </c>
      <c r="B4" s="11">
        <v>350000.0</v>
      </c>
    </row>
    <row r="5">
      <c r="A5" s="10" t="s">
        <v>21</v>
      </c>
      <c r="B5" s="11">
        <v>700000.0</v>
      </c>
    </row>
    <row r="6">
      <c r="A6" s="10" t="s">
        <v>24</v>
      </c>
      <c r="B6" s="11">
        <v>1800000.0</v>
      </c>
    </row>
    <row r="7">
      <c r="A7" s="10" t="s">
        <v>28</v>
      </c>
      <c r="B7" s="11">
        <v>400000.0</v>
      </c>
    </row>
    <row r="8">
      <c r="A8" s="10" t="s">
        <v>30</v>
      </c>
      <c r="B8" s="11">
        <v>350000.0</v>
      </c>
    </row>
    <row r="9">
      <c r="A9" s="10" t="s">
        <v>31</v>
      </c>
      <c r="B9" s="11">
        <v>350000.0</v>
      </c>
    </row>
    <row r="10">
      <c r="A10" s="13" t="s">
        <v>32</v>
      </c>
      <c r="B10" s="14">
        <f>SUM(B2:B9)</f>
        <v>5150000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